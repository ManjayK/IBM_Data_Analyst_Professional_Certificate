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3543FA-5391-42BB-A51B-6037FA1DBF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gomery_Fleet_Equipment_Inve" sheetId="1" r:id="rId1"/>
    <sheet name="Pivot1" sheetId="3" r:id="rId2"/>
    <sheet name="Pivot2" sheetId="4" r:id="rId3"/>
    <sheet name="Pivot3" sheetId="5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<sst xmlns="http://schemas.openxmlformats.org/spreadsheetml/2006/main" count="239" uniqueCount="37">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</sst>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jay Kumar" refreshedDate="45013.572684259256" createdVersion="8" refreshedVersion="8" minRefreshableVersion="3" recordCount="49" xr:uid="{641C3A9A-DEEC-4F90-AFDC-1EA3338357D9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237F-19DD-4330-963C-A917A95475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9AF8C-AE16-4F54-A8DF-2756CEFAEA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53">
    <i>
      <x v="11"/>
    </i>
    <i>
      <x v="5"/>
    </i>
    <i r="1">
      <x/>
    </i>
    <i r="1">
      <x v="4"/>
    </i>
    <i r="1">
      <x v="10"/>
    </i>
    <i r="1">
      <x v="11"/>
    </i>
    <i r="1">
      <x v="13"/>
    </i>
    <i>
      <x v="8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10"/>
    </i>
    <i r="1">
      <x v="11"/>
    </i>
    <i r="1">
      <x v="13"/>
    </i>
    <i>
      <x/>
    </i>
    <i r="1">
      <x v="4"/>
    </i>
    <i r="1">
      <x v="10"/>
    </i>
    <i r="1">
      <x v="11"/>
    </i>
    <i>
      <x v="7"/>
    </i>
    <i r="1">
      <x v="3"/>
    </i>
    <i r="1">
      <x v="4"/>
    </i>
    <i r="1">
      <x v="10"/>
    </i>
    <i r="1">
      <x v="11"/>
    </i>
    <i r="1">
      <x v="13"/>
    </i>
    <i>
      <x v="10"/>
    </i>
    <i r="1">
      <x/>
    </i>
    <i r="1">
      <x v="4"/>
    </i>
    <i r="1">
      <x v="11"/>
    </i>
    <i r="1">
      <x v="13"/>
    </i>
    <i>
      <x v="2"/>
    </i>
    <i r="1">
      <x v="2"/>
    </i>
    <i r="1">
      <x v="4"/>
    </i>
    <i r="1">
      <x v="13"/>
    </i>
    <i>
      <x v="9"/>
    </i>
    <i r="1">
      <x v="7"/>
    </i>
    <i r="1">
      <x v="10"/>
    </i>
    <i r="1">
      <x v="11"/>
    </i>
    <i r="1">
      <x v="13"/>
    </i>
    <i>
      <x v="1"/>
    </i>
    <i r="1">
      <x v="10"/>
    </i>
    <i>
      <x v="4"/>
    </i>
    <i r="1">
      <x v="11"/>
    </i>
    <i>
      <x v="6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254B8-38DB-4118-B714-25B6551450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sd="0"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1"/>
    <field x="0"/>
  </rowFields>
  <rowItems count="61">
    <i>
      <x/>
    </i>
    <i>
      <x v="1"/>
    </i>
    <i r="1">
      <x v="11"/>
    </i>
    <i r="1">
      <x v="3"/>
    </i>
    <i>
      <x v="2"/>
    </i>
    <i r="1">
      <x v="11"/>
    </i>
    <i r="1">
      <x v="2"/>
    </i>
    <i r="1">
      <x v="8"/>
    </i>
    <i>
      <x v="3"/>
    </i>
    <i r="1">
      <x v="11"/>
    </i>
    <i r="1">
      <x v="7"/>
    </i>
    <i>
      <x v="4"/>
    </i>
    <i r="1">
      <x v="11"/>
    </i>
    <i r="1">
      <x v="5"/>
    </i>
    <i r="1">
      <x/>
    </i>
    <i r="1">
      <x v="7"/>
    </i>
    <i r="1">
      <x v="8"/>
    </i>
    <i r="1">
      <x v="2"/>
    </i>
    <i r="1">
      <x v="10"/>
    </i>
    <i>
      <x v="5"/>
    </i>
    <i r="1">
      <x v="8"/>
    </i>
    <i>
      <x v="6"/>
    </i>
    <i r="1">
      <x v="8"/>
    </i>
    <i>
      <x v="7"/>
    </i>
    <i r="1">
      <x v="8"/>
    </i>
    <i r="1">
      <x v="9"/>
    </i>
    <i>
      <x v="8"/>
    </i>
    <i r="1">
      <x v="8"/>
    </i>
    <i>
      <x v="9"/>
    </i>
    <i r="1">
      <x v="8"/>
    </i>
    <i>
      <x v="10"/>
    </i>
    <i r="1">
      <x v="5"/>
    </i>
    <i r="1">
      <x v="11"/>
    </i>
    <i r="1">
      <x/>
    </i>
    <i r="1">
      <x v="3"/>
    </i>
    <i r="1">
      <x v="7"/>
    </i>
    <i r="1">
      <x v="1"/>
    </i>
    <i r="1">
      <x v="9"/>
    </i>
    <i r="1">
      <x v="8"/>
    </i>
    <i>
      <x v="11"/>
    </i>
    <i r="1">
      <x v="11"/>
    </i>
    <i r="1">
      <x v="5"/>
    </i>
    <i r="1">
      <x v="10"/>
    </i>
    <i r="1">
      <x v="7"/>
    </i>
    <i r="1">
      <x v="4"/>
    </i>
    <i r="1">
      <x/>
    </i>
    <i r="1">
      <x v="3"/>
    </i>
    <i r="1">
      <x v="8"/>
    </i>
    <i r="1">
      <x v="9"/>
    </i>
    <i>
      <x v="12"/>
    </i>
    <i r="1">
      <x v="11"/>
    </i>
    <i>
      <x v="13"/>
    </i>
    <i r="1">
      <x v="11"/>
    </i>
    <i r="1">
      <x v="7"/>
    </i>
    <i r="1">
      <x v="10"/>
    </i>
    <i r="1">
      <x v="3"/>
    </i>
    <i r="1">
      <x v="2"/>
    </i>
    <i r="1">
      <x v="5"/>
    </i>
    <i r="1">
      <x v="9"/>
    </i>
    <i r="1"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94FD7-97C3-44F7-B581-61FD70630CD4}" name="Table1" displayName="Table1" ref="A1:C50" totalsRowShown="0">
  <autoFilter ref="A1:C50" xr:uid="{D5E94FD7-97C3-44F7-B581-61FD70630CD4}"/>
  <tableColumns count="3">
    <tableColumn id="1" xr3:uid="{8346A2AD-092B-4CF1-A6C5-7066DE23A220}" name="Department"/>
    <tableColumn id="2" xr3:uid="{6737C99B-2436-4321-90C2-89E6714E9BDD}" name="Equipment Class"/>
    <tableColumn id="3" xr3:uid="{8910DEDD-F0C3-40A9-827C-94E3CD5AC39D}" name="Equipment C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B1" workbookViewId="0">
      <selection activeCell="B49" sqref="B49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>
        <v>21</v>
      </c>
      <c r="E2" t="s">
        <v>29</v>
      </c>
      <c r="F2">
        <f>SUM(C2:C50)</f>
        <v>1582</v>
      </c>
    </row>
    <row r="3" spans="1:6" x14ac:dyDescent="0.25">
      <c r="A3" t="s">
        <v>5</v>
      </c>
      <c r="B3" t="s">
        <v>7</v>
      </c>
      <c r="C3">
        <v>1</v>
      </c>
      <c r="E3" t="s">
        <v>30</v>
      </c>
      <c r="F3">
        <f>AVERAGE(C2:C50)</f>
        <v>32.285714285714285</v>
      </c>
    </row>
    <row r="4" spans="1:6" x14ac:dyDescent="0.25">
      <c r="A4" t="s">
        <v>5</v>
      </c>
      <c r="B4" t="s">
        <v>4</v>
      </c>
      <c r="C4">
        <v>23</v>
      </c>
      <c r="E4" t="s">
        <v>31</v>
      </c>
      <c r="F4">
        <f>MIN(C2:C50)</f>
        <v>1</v>
      </c>
    </row>
    <row r="5" spans="1:6" x14ac:dyDescent="0.25">
      <c r="A5" t="s">
        <v>8</v>
      </c>
      <c r="B5" t="s">
        <v>4</v>
      </c>
      <c r="C5">
        <v>2</v>
      </c>
      <c r="E5" t="s">
        <v>32</v>
      </c>
      <c r="F5">
        <f>MAX(C2:C50)</f>
        <v>379</v>
      </c>
    </row>
    <row r="6" spans="1:6" x14ac:dyDescent="0.25">
      <c r="A6" t="s">
        <v>9</v>
      </c>
      <c r="B6" t="s">
        <v>6</v>
      </c>
      <c r="C6">
        <v>3</v>
      </c>
      <c r="E6" t="s">
        <v>33</v>
      </c>
      <c r="F6">
        <f>COUNT(C2:C50)</f>
        <v>49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DA7F-6B58-4F48-8F70-662DE4FEE897}">
  <dimension ref="A3:B16"/>
  <sheetViews>
    <sheetView workbookViewId="0">
      <selection activeCell="A12" sqref="A4:A15"/>
      <pivotSelection pane="bottomRight" showHeader="1" axis="axisRow" activeRow="11" previousRow="11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>
        <v>1221</v>
      </c>
    </row>
    <row r="5" spans="1:2" x14ac:dyDescent="0.25">
      <c r="A5" s="2" t="s">
        <v>15</v>
      </c>
      <c r="B5">
        <v>109</v>
      </c>
    </row>
    <row r="6" spans="1:2" x14ac:dyDescent="0.25">
      <c r="A6" s="2" t="s">
        <v>19</v>
      </c>
      <c r="B6">
        <v>85</v>
      </c>
    </row>
    <row r="7" spans="1:2" x14ac:dyDescent="0.25">
      <c r="A7" s="2" t="s">
        <v>12</v>
      </c>
      <c r="B7">
        <v>56</v>
      </c>
    </row>
    <row r="8" spans="1:2" x14ac:dyDescent="0.25">
      <c r="A8" s="2" t="s">
        <v>5</v>
      </c>
      <c r="B8">
        <v>45</v>
      </c>
    </row>
    <row r="9" spans="1:2" x14ac:dyDescent="0.25">
      <c r="A9" s="2" t="s">
        <v>18</v>
      </c>
      <c r="B9">
        <v>35</v>
      </c>
    </row>
    <row r="10" spans="1:2" x14ac:dyDescent="0.25">
      <c r="A10" s="2" t="s">
        <v>25</v>
      </c>
      <c r="B10">
        <v>16</v>
      </c>
    </row>
    <row r="11" spans="1:2" x14ac:dyDescent="0.25">
      <c r="A11" s="2" t="s">
        <v>9</v>
      </c>
      <c r="B11">
        <v>6</v>
      </c>
    </row>
    <row r="12" spans="1:2" x14ac:dyDescent="0.25">
      <c r="A12" s="2" t="s">
        <v>24</v>
      </c>
      <c r="B12">
        <v>5</v>
      </c>
    </row>
    <row r="13" spans="1:2" x14ac:dyDescent="0.25">
      <c r="A13" s="2" t="s">
        <v>8</v>
      </c>
      <c r="B13">
        <v>2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17</v>
      </c>
      <c r="B15">
        <v>1</v>
      </c>
    </row>
    <row r="16" spans="1:2" x14ac:dyDescent="0.25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4B4F-6226-4FE0-A3AF-D4A3A62E33E4}">
  <dimension ref="A3:B56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>
        <v>1221</v>
      </c>
    </row>
    <row r="5" spans="1:2" x14ac:dyDescent="0.25">
      <c r="A5" s="2" t="s">
        <v>15</v>
      </c>
      <c r="B5">
        <v>109</v>
      </c>
    </row>
    <row r="6" spans="1:2" x14ac:dyDescent="0.25">
      <c r="A6" s="3" t="s">
        <v>16</v>
      </c>
      <c r="B6">
        <v>9</v>
      </c>
    </row>
    <row r="7" spans="1:2" x14ac:dyDescent="0.25">
      <c r="A7" s="3" t="s">
        <v>6</v>
      </c>
      <c r="B7">
        <v>24</v>
      </c>
    </row>
    <row r="8" spans="1:2" x14ac:dyDescent="0.25">
      <c r="A8" s="3" t="s">
        <v>4</v>
      </c>
      <c r="B8">
        <v>48</v>
      </c>
    </row>
    <row r="9" spans="1:2" x14ac:dyDescent="0.25">
      <c r="A9" s="3" t="s">
        <v>7</v>
      </c>
      <c r="B9">
        <v>27</v>
      </c>
    </row>
    <row r="10" spans="1:2" x14ac:dyDescent="0.25">
      <c r="A10" s="3" t="s">
        <v>10</v>
      </c>
      <c r="B10">
        <v>1</v>
      </c>
    </row>
    <row r="11" spans="1:2" x14ac:dyDescent="0.25">
      <c r="A11" s="2" t="s">
        <v>19</v>
      </c>
      <c r="B11">
        <v>85</v>
      </c>
    </row>
    <row r="12" spans="1:2" x14ac:dyDescent="0.25">
      <c r="A12" s="3" t="s">
        <v>11</v>
      </c>
      <c r="B12">
        <v>1</v>
      </c>
    </row>
    <row r="13" spans="1:2" x14ac:dyDescent="0.25">
      <c r="A13" s="3" t="s">
        <v>6</v>
      </c>
      <c r="B13">
        <v>3</v>
      </c>
    </row>
    <row r="14" spans="1:2" x14ac:dyDescent="0.25">
      <c r="A14" s="3" t="s">
        <v>21</v>
      </c>
      <c r="B14">
        <v>4</v>
      </c>
    </row>
    <row r="15" spans="1:2" x14ac:dyDescent="0.25">
      <c r="A15" s="3" t="s">
        <v>23</v>
      </c>
      <c r="B15">
        <v>1</v>
      </c>
    </row>
    <row r="16" spans="1:2" x14ac:dyDescent="0.25">
      <c r="A16" s="3" t="s">
        <v>22</v>
      </c>
      <c r="B16">
        <v>46</v>
      </c>
    </row>
    <row r="17" spans="1:2" x14ac:dyDescent="0.25">
      <c r="A17" s="3" t="s">
        <v>3</v>
      </c>
      <c r="B17">
        <v>20</v>
      </c>
    </row>
    <row r="18" spans="1:2" x14ac:dyDescent="0.25">
      <c r="A18" s="3" t="s">
        <v>20</v>
      </c>
      <c r="B18">
        <v>8</v>
      </c>
    </row>
    <row r="19" spans="1:2" x14ac:dyDescent="0.25">
      <c r="A19" s="3" t="s">
        <v>4</v>
      </c>
      <c r="B19">
        <v>1</v>
      </c>
    </row>
    <row r="20" spans="1:2" x14ac:dyDescent="0.25">
      <c r="A20" s="3" t="s">
        <v>7</v>
      </c>
      <c r="B20">
        <v>1</v>
      </c>
    </row>
    <row r="21" spans="1:2" x14ac:dyDescent="0.25">
      <c r="A21" s="2" t="s">
        <v>12</v>
      </c>
      <c r="B21">
        <v>56</v>
      </c>
    </row>
    <row r="22" spans="1:2" x14ac:dyDescent="0.25">
      <c r="A22" s="3" t="s">
        <v>13</v>
      </c>
      <c r="B22">
        <v>42</v>
      </c>
    </row>
    <row r="23" spans="1:2" x14ac:dyDescent="0.25">
      <c r="A23" s="3" t="s">
        <v>4</v>
      </c>
      <c r="B23">
        <v>11</v>
      </c>
    </row>
    <row r="24" spans="1:2" x14ac:dyDescent="0.25">
      <c r="A24" s="3" t="s">
        <v>7</v>
      </c>
      <c r="B24">
        <v>1</v>
      </c>
    </row>
    <row r="25" spans="1:2" x14ac:dyDescent="0.25">
      <c r="A25" s="3" t="s">
        <v>10</v>
      </c>
      <c r="B25">
        <v>2</v>
      </c>
    </row>
    <row r="26" spans="1:2" x14ac:dyDescent="0.25">
      <c r="A26" s="2" t="s">
        <v>5</v>
      </c>
      <c r="B26">
        <v>45</v>
      </c>
    </row>
    <row r="27" spans="1:2" x14ac:dyDescent="0.25">
      <c r="A27" s="3" t="s">
        <v>6</v>
      </c>
      <c r="B27">
        <v>21</v>
      </c>
    </row>
    <row r="28" spans="1:2" x14ac:dyDescent="0.25">
      <c r="A28" s="3" t="s">
        <v>4</v>
      </c>
      <c r="B28">
        <v>23</v>
      </c>
    </row>
    <row r="29" spans="1:2" x14ac:dyDescent="0.25">
      <c r="A29" s="3" t="s">
        <v>7</v>
      </c>
      <c r="B29">
        <v>1</v>
      </c>
    </row>
    <row r="30" spans="1:2" x14ac:dyDescent="0.25">
      <c r="A30" s="2" t="s">
        <v>18</v>
      </c>
      <c r="B30">
        <v>35</v>
      </c>
    </row>
    <row r="31" spans="1:2" x14ac:dyDescent="0.25">
      <c r="A31" s="3" t="s">
        <v>28</v>
      </c>
      <c r="B31">
        <v>7</v>
      </c>
    </row>
    <row r="32" spans="1:2" x14ac:dyDescent="0.25">
      <c r="A32" s="3" t="s">
        <v>6</v>
      </c>
      <c r="B32">
        <v>5</v>
      </c>
    </row>
    <row r="33" spans="1:2" x14ac:dyDescent="0.25">
      <c r="A33" s="3" t="s">
        <v>4</v>
      </c>
      <c r="B33">
        <v>6</v>
      </c>
    </row>
    <row r="34" spans="1:2" x14ac:dyDescent="0.25">
      <c r="A34" s="3" t="s">
        <v>7</v>
      </c>
      <c r="B34">
        <v>2</v>
      </c>
    </row>
    <row r="35" spans="1:2" x14ac:dyDescent="0.25">
      <c r="A35" s="3" t="s">
        <v>10</v>
      </c>
      <c r="B35">
        <v>15</v>
      </c>
    </row>
    <row r="36" spans="1:2" x14ac:dyDescent="0.25">
      <c r="A36" s="2" t="s">
        <v>25</v>
      </c>
      <c r="B36">
        <v>16</v>
      </c>
    </row>
    <row r="37" spans="1:2" x14ac:dyDescent="0.25">
      <c r="A37" s="3" t="s">
        <v>16</v>
      </c>
      <c r="B37">
        <v>1</v>
      </c>
    </row>
    <row r="38" spans="1:2" x14ac:dyDescent="0.25">
      <c r="A38" s="3" t="s">
        <v>6</v>
      </c>
      <c r="B38">
        <v>1</v>
      </c>
    </row>
    <row r="39" spans="1:2" x14ac:dyDescent="0.25">
      <c r="A39" s="3" t="s">
        <v>7</v>
      </c>
      <c r="B39">
        <v>3</v>
      </c>
    </row>
    <row r="40" spans="1:2" x14ac:dyDescent="0.25">
      <c r="A40" s="3" t="s">
        <v>10</v>
      </c>
      <c r="B40">
        <v>11</v>
      </c>
    </row>
    <row r="41" spans="1:2" x14ac:dyDescent="0.25">
      <c r="A41" s="2" t="s">
        <v>9</v>
      </c>
      <c r="B41">
        <v>6</v>
      </c>
    </row>
    <row r="42" spans="1:2" x14ac:dyDescent="0.25">
      <c r="A42" s="3" t="s">
        <v>11</v>
      </c>
      <c r="B42">
        <v>1</v>
      </c>
    </row>
    <row r="43" spans="1:2" x14ac:dyDescent="0.25">
      <c r="A43" s="3" t="s">
        <v>6</v>
      </c>
      <c r="B43">
        <v>3</v>
      </c>
    </row>
    <row r="44" spans="1:2" x14ac:dyDescent="0.25">
      <c r="A44" s="3" t="s">
        <v>10</v>
      </c>
      <c r="B44">
        <v>2</v>
      </c>
    </row>
    <row r="45" spans="1:2" x14ac:dyDescent="0.25">
      <c r="A45" s="2" t="s">
        <v>24</v>
      </c>
      <c r="B45">
        <v>5</v>
      </c>
    </row>
    <row r="46" spans="1:2" x14ac:dyDescent="0.25">
      <c r="A46" s="3" t="s">
        <v>22</v>
      </c>
      <c r="B46">
        <v>1</v>
      </c>
    </row>
    <row r="47" spans="1:2" x14ac:dyDescent="0.25">
      <c r="A47" s="3" t="s">
        <v>4</v>
      </c>
      <c r="B47">
        <v>2</v>
      </c>
    </row>
    <row r="48" spans="1:2" x14ac:dyDescent="0.25">
      <c r="A48" s="3" t="s">
        <v>7</v>
      </c>
      <c r="B48">
        <v>1</v>
      </c>
    </row>
    <row r="49" spans="1:2" x14ac:dyDescent="0.25">
      <c r="A49" s="3" t="s">
        <v>10</v>
      </c>
      <c r="B49">
        <v>1</v>
      </c>
    </row>
    <row r="50" spans="1:2" x14ac:dyDescent="0.25">
      <c r="A50" s="2" t="s">
        <v>8</v>
      </c>
      <c r="B50">
        <v>2</v>
      </c>
    </row>
    <row r="51" spans="1:2" x14ac:dyDescent="0.25">
      <c r="A51" s="3" t="s">
        <v>4</v>
      </c>
      <c r="B51">
        <v>2</v>
      </c>
    </row>
    <row r="52" spans="1:2" x14ac:dyDescent="0.25">
      <c r="A52" s="2" t="s">
        <v>14</v>
      </c>
      <c r="B52">
        <v>1</v>
      </c>
    </row>
    <row r="53" spans="1:2" x14ac:dyDescent="0.25">
      <c r="A53" s="3" t="s">
        <v>7</v>
      </c>
      <c r="B53">
        <v>1</v>
      </c>
    </row>
    <row r="54" spans="1:2" x14ac:dyDescent="0.25">
      <c r="A54" s="2" t="s">
        <v>17</v>
      </c>
      <c r="B54">
        <v>1</v>
      </c>
    </row>
    <row r="55" spans="1:2" x14ac:dyDescent="0.25">
      <c r="A55" s="3" t="s">
        <v>10</v>
      </c>
      <c r="B55">
        <v>1</v>
      </c>
    </row>
    <row r="56" spans="1:2" x14ac:dyDescent="0.25">
      <c r="A56" s="2" t="s">
        <v>35</v>
      </c>
      <c r="B5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5F74-B9CB-4837-9D37-AB2BC8CBE9AF}">
  <dimension ref="A3:B64"/>
  <sheetViews>
    <sheetView workbookViewId="0">
      <selection activeCell="A4" sqref="A4"/>
    </sheetView>
  </sheetViews>
  <sheetFormatPr defaultRowHeight="15" x14ac:dyDescent="0.25"/>
  <cols>
    <col min="1" max="1" width="33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>
        <v>15</v>
      </c>
    </row>
    <row r="5" spans="1:2" x14ac:dyDescent="0.25">
      <c r="A5" s="2" t="s">
        <v>13</v>
      </c>
      <c r="B5">
        <v>290</v>
      </c>
    </row>
    <row r="6" spans="1:2" x14ac:dyDescent="0.25">
      <c r="A6" s="3" t="s">
        <v>26</v>
      </c>
      <c r="B6">
        <v>248</v>
      </c>
    </row>
    <row r="7" spans="1:2" x14ac:dyDescent="0.25">
      <c r="A7" s="3" t="s">
        <v>12</v>
      </c>
      <c r="B7">
        <v>42</v>
      </c>
    </row>
    <row r="8" spans="1:2" x14ac:dyDescent="0.25">
      <c r="A8" s="2" t="s">
        <v>11</v>
      </c>
      <c r="B8">
        <v>100</v>
      </c>
    </row>
    <row r="9" spans="1:2" x14ac:dyDescent="0.25">
      <c r="A9" s="3" t="s">
        <v>26</v>
      </c>
      <c r="B9">
        <v>98</v>
      </c>
    </row>
    <row r="10" spans="1:2" x14ac:dyDescent="0.25">
      <c r="A10" s="3" t="s">
        <v>9</v>
      </c>
      <c r="B10">
        <v>1</v>
      </c>
    </row>
    <row r="11" spans="1:2" x14ac:dyDescent="0.25">
      <c r="A11" s="3" t="s">
        <v>19</v>
      </c>
      <c r="B11">
        <v>1</v>
      </c>
    </row>
    <row r="12" spans="1:2" x14ac:dyDescent="0.25">
      <c r="A12" s="2" t="s">
        <v>28</v>
      </c>
      <c r="B12">
        <v>283</v>
      </c>
    </row>
    <row r="13" spans="1:2" x14ac:dyDescent="0.25">
      <c r="A13" s="3" t="s">
        <v>26</v>
      </c>
      <c r="B13">
        <v>276</v>
      </c>
    </row>
    <row r="14" spans="1:2" x14ac:dyDescent="0.25">
      <c r="A14" s="3" t="s">
        <v>18</v>
      </c>
      <c r="B14">
        <v>7</v>
      </c>
    </row>
    <row r="15" spans="1:2" x14ac:dyDescent="0.25">
      <c r="A15" s="2" t="s">
        <v>6</v>
      </c>
      <c r="B15">
        <v>150</v>
      </c>
    </row>
    <row r="16" spans="1:2" x14ac:dyDescent="0.25">
      <c r="A16" s="3" t="s">
        <v>26</v>
      </c>
      <c r="B16">
        <v>93</v>
      </c>
    </row>
    <row r="17" spans="1:2" x14ac:dyDescent="0.25">
      <c r="A17" s="3" t="s">
        <v>15</v>
      </c>
      <c r="B17">
        <v>24</v>
      </c>
    </row>
    <row r="18" spans="1:2" x14ac:dyDescent="0.25">
      <c r="A18" s="3" t="s">
        <v>5</v>
      </c>
      <c r="B18">
        <v>21</v>
      </c>
    </row>
    <row r="19" spans="1:2" x14ac:dyDescent="0.25">
      <c r="A19" s="3" t="s">
        <v>18</v>
      </c>
      <c r="B19">
        <v>5</v>
      </c>
    </row>
    <row r="20" spans="1:2" x14ac:dyDescent="0.25">
      <c r="A20" s="3" t="s">
        <v>19</v>
      </c>
      <c r="B20">
        <v>3</v>
      </c>
    </row>
    <row r="21" spans="1:2" x14ac:dyDescent="0.25">
      <c r="A21" s="3" t="s">
        <v>9</v>
      </c>
      <c r="B21">
        <v>3</v>
      </c>
    </row>
    <row r="22" spans="1:2" x14ac:dyDescent="0.25">
      <c r="A22" s="3" t="s">
        <v>25</v>
      </c>
      <c r="B22">
        <v>1</v>
      </c>
    </row>
    <row r="23" spans="1:2" x14ac:dyDescent="0.25">
      <c r="A23" s="2" t="s">
        <v>21</v>
      </c>
      <c r="B23">
        <v>4</v>
      </c>
    </row>
    <row r="24" spans="1:2" x14ac:dyDescent="0.25">
      <c r="A24" s="3" t="s">
        <v>19</v>
      </c>
      <c r="B24">
        <v>4</v>
      </c>
    </row>
    <row r="25" spans="1:2" x14ac:dyDescent="0.25">
      <c r="A25" s="2" t="s">
        <v>23</v>
      </c>
      <c r="B25">
        <v>1</v>
      </c>
    </row>
    <row r="26" spans="1:2" x14ac:dyDescent="0.25">
      <c r="A26" s="3" t="s">
        <v>19</v>
      </c>
      <c r="B26">
        <v>1</v>
      </c>
    </row>
    <row r="27" spans="1:2" x14ac:dyDescent="0.25">
      <c r="A27" s="2" t="s">
        <v>22</v>
      </c>
      <c r="B27">
        <v>47</v>
      </c>
    </row>
    <row r="28" spans="1:2" x14ac:dyDescent="0.25">
      <c r="A28" s="3" t="s">
        <v>19</v>
      </c>
      <c r="B28">
        <v>46</v>
      </c>
    </row>
    <row r="29" spans="1:2" x14ac:dyDescent="0.25">
      <c r="A29" s="3" t="s">
        <v>24</v>
      </c>
      <c r="B29">
        <v>1</v>
      </c>
    </row>
    <row r="30" spans="1:2" x14ac:dyDescent="0.25">
      <c r="A30" s="2" t="s">
        <v>3</v>
      </c>
      <c r="B30">
        <v>20</v>
      </c>
    </row>
    <row r="31" spans="1:2" x14ac:dyDescent="0.25">
      <c r="A31" s="3" t="s">
        <v>19</v>
      </c>
      <c r="B31">
        <v>20</v>
      </c>
    </row>
    <row r="32" spans="1:2" x14ac:dyDescent="0.25">
      <c r="A32" s="2" t="s">
        <v>20</v>
      </c>
      <c r="B32">
        <v>8</v>
      </c>
    </row>
    <row r="33" spans="1:2" x14ac:dyDescent="0.25">
      <c r="A33" s="3" t="s">
        <v>19</v>
      </c>
      <c r="B33">
        <v>8</v>
      </c>
    </row>
    <row r="34" spans="1:2" x14ac:dyDescent="0.25">
      <c r="A34" s="2" t="s">
        <v>4</v>
      </c>
      <c r="B34">
        <v>130</v>
      </c>
    </row>
    <row r="35" spans="1:2" x14ac:dyDescent="0.25">
      <c r="A35" s="3" t="s">
        <v>15</v>
      </c>
      <c r="B35">
        <v>48</v>
      </c>
    </row>
    <row r="36" spans="1:2" x14ac:dyDescent="0.25">
      <c r="A36" s="3" t="s">
        <v>26</v>
      </c>
      <c r="B36">
        <v>37</v>
      </c>
    </row>
    <row r="37" spans="1:2" x14ac:dyDescent="0.25">
      <c r="A37" s="3" t="s">
        <v>5</v>
      </c>
      <c r="B37">
        <v>23</v>
      </c>
    </row>
    <row r="38" spans="1:2" x14ac:dyDescent="0.25">
      <c r="A38" s="3" t="s">
        <v>12</v>
      </c>
      <c r="B38">
        <v>11</v>
      </c>
    </row>
    <row r="39" spans="1:2" x14ac:dyDescent="0.25">
      <c r="A39" s="3" t="s">
        <v>18</v>
      </c>
      <c r="B39">
        <v>6</v>
      </c>
    </row>
    <row r="40" spans="1:2" x14ac:dyDescent="0.25">
      <c r="A40" s="3" t="s">
        <v>8</v>
      </c>
      <c r="B40">
        <v>2</v>
      </c>
    </row>
    <row r="41" spans="1:2" x14ac:dyDescent="0.25">
      <c r="A41" s="3" t="s">
        <v>24</v>
      </c>
      <c r="B41">
        <v>2</v>
      </c>
    </row>
    <row r="42" spans="1:2" x14ac:dyDescent="0.25">
      <c r="A42" s="3" t="s">
        <v>19</v>
      </c>
      <c r="B42">
        <v>1</v>
      </c>
    </row>
    <row r="43" spans="1:2" x14ac:dyDescent="0.25">
      <c r="A43" s="2" t="s">
        <v>7</v>
      </c>
      <c r="B43">
        <v>90</v>
      </c>
    </row>
    <row r="44" spans="1:2" x14ac:dyDescent="0.25">
      <c r="A44" s="3" t="s">
        <v>26</v>
      </c>
      <c r="B44">
        <v>53</v>
      </c>
    </row>
    <row r="45" spans="1:2" x14ac:dyDescent="0.25">
      <c r="A45" s="3" t="s">
        <v>15</v>
      </c>
      <c r="B45">
        <v>27</v>
      </c>
    </row>
    <row r="46" spans="1:2" x14ac:dyDescent="0.25">
      <c r="A46" s="3" t="s">
        <v>25</v>
      </c>
      <c r="B46">
        <v>3</v>
      </c>
    </row>
    <row r="47" spans="1:2" x14ac:dyDescent="0.25">
      <c r="A47" s="3" t="s">
        <v>18</v>
      </c>
      <c r="B47">
        <v>2</v>
      </c>
    </row>
    <row r="48" spans="1:2" x14ac:dyDescent="0.25">
      <c r="A48" s="3" t="s">
        <v>14</v>
      </c>
      <c r="B48">
        <v>1</v>
      </c>
    </row>
    <row r="49" spans="1:2" x14ac:dyDescent="0.25">
      <c r="A49" s="3" t="s">
        <v>5</v>
      </c>
      <c r="B49">
        <v>1</v>
      </c>
    </row>
    <row r="50" spans="1:2" x14ac:dyDescent="0.25">
      <c r="A50" s="3" t="s">
        <v>12</v>
      </c>
      <c r="B50">
        <v>1</v>
      </c>
    </row>
    <row r="51" spans="1:2" x14ac:dyDescent="0.25">
      <c r="A51" s="3" t="s">
        <v>19</v>
      </c>
      <c r="B51">
        <v>1</v>
      </c>
    </row>
    <row r="52" spans="1:2" x14ac:dyDescent="0.25">
      <c r="A52" s="3" t="s">
        <v>24</v>
      </c>
      <c r="B52">
        <v>1</v>
      </c>
    </row>
    <row r="53" spans="1:2" x14ac:dyDescent="0.25">
      <c r="A53" s="2" t="s">
        <v>27</v>
      </c>
      <c r="B53">
        <v>379</v>
      </c>
    </row>
    <row r="54" spans="1:2" x14ac:dyDescent="0.25">
      <c r="A54" s="3" t="s">
        <v>26</v>
      </c>
      <c r="B54">
        <v>379</v>
      </c>
    </row>
    <row r="55" spans="1:2" x14ac:dyDescent="0.25">
      <c r="A55" s="2" t="s">
        <v>10</v>
      </c>
      <c r="B55">
        <v>65</v>
      </c>
    </row>
    <row r="56" spans="1:2" x14ac:dyDescent="0.25">
      <c r="A56" s="3" t="s">
        <v>26</v>
      </c>
      <c r="B56">
        <v>32</v>
      </c>
    </row>
    <row r="57" spans="1:2" x14ac:dyDescent="0.25">
      <c r="A57" s="3" t="s">
        <v>18</v>
      </c>
      <c r="B57">
        <v>15</v>
      </c>
    </row>
    <row r="58" spans="1:2" x14ac:dyDescent="0.25">
      <c r="A58" s="3" t="s">
        <v>25</v>
      </c>
      <c r="B58">
        <v>11</v>
      </c>
    </row>
    <row r="59" spans="1:2" x14ac:dyDescent="0.25">
      <c r="A59" s="3" t="s">
        <v>12</v>
      </c>
      <c r="B59">
        <v>2</v>
      </c>
    </row>
    <row r="60" spans="1:2" x14ac:dyDescent="0.25">
      <c r="A60" s="3" t="s">
        <v>9</v>
      </c>
      <c r="B60">
        <v>2</v>
      </c>
    </row>
    <row r="61" spans="1:2" x14ac:dyDescent="0.25">
      <c r="A61" s="3" t="s">
        <v>15</v>
      </c>
      <c r="B61">
        <v>1</v>
      </c>
    </row>
    <row r="62" spans="1:2" x14ac:dyDescent="0.25">
      <c r="A62" s="3" t="s">
        <v>24</v>
      </c>
      <c r="B62">
        <v>1</v>
      </c>
    </row>
    <row r="63" spans="1:2" x14ac:dyDescent="0.25">
      <c r="A63" s="3" t="s">
        <v>17</v>
      </c>
      <c r="B63">
        <v>1</v>
      </c>
    </row>
    <row r="64" spans="1:2" x14ac:dyDescent="0.25">
      <c r="A64" s="2" t="s">
        <v>35</v>
      </c>
      <c r="B6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Manjay Kumar</dc:creator>
  <cp:lastModifiedBy>Manjay Kumar</cp:lastModifiedBy>
  <dcterms:created xsi:type="dcterms:W3CDTF">2020-09-01T17:18:12Z</dcterms:created>
  <dcterms:modified xsi:type="dcterms:W3CDTF">2023-03-28T09:24:52Z</dcterms:modified>
</cp:coreProperties>
</file>